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MEGA\Code\Accounting\Payment-Form\"/>
    </mc:Choice>
  </mc:AlternateContent>
  <xr:revisionPtr revIDLastSave="0" documentId="13_ncr:1_{79A26E96-E724-460E-862D-6B9A68892E2B}" xr6:coauthVersionLast="47" xr6:coauthVersionMax="47" xr10:uidLastSave="{00000000-0000-0000-0000-000000000000}"/>
  <bookViews>
    <workbookView xWindow="-120" yWindow="-120" windowWidth="29040" windowHeight="15720" xr2:uid="{5B01E1CE-78F0-4FAF-84C2-F8F1823A67E7}"/>
  </bookViews>
  <sheets>
    <sheet name="خام" sheetId="1" r:id="rId1"/>
    <sheet name="Data" sheetId="2" r:id="rId2"/>
    <sheet name="1" sheetId="6" r:id="rId3"/>
  </sheets>
  <definedNames>
    <definedName name="L_CostCenter" localSheetId="2">T_CostCenter[مرکز هزینه]</definedName>
    <definedName name="L_CostCenter">T_CostCenter[مرکز هزینه]</definedName>
    <definedName name="L_PayCenter" localSheetId="2">T_PayCenter[مرکز پرداخت]</definedName>
    <definedName name="L_PayCenter">T_PayCenter[مرکز پرداخت]</definedName>
    <definedName name="P_Capacity">Data!$D$3</definedName>
    <definedName name="P_Name">Data!$B$3</definedName>
    <definedName name="P_Number" localSheetId="2">'1'!$F$7</definedName>
    <definedName name="P_Number" localSheetId="0">خام!$F$7</definedName>
    <definedName name="P_Remaining" localSheetId="2">'1'!$F$9</definedName>
    <definedName name="P_Remaining" localSheetId="0">خام!$F$9</definedName>
    <definedName name="_xlnm.Print_Titles" localSheetId="2">'1'!$2:$12</definedName>
    <definedName name="_xlnm.Print_Titles" localSheetId="0">خام!$2:$12</definedName>
    <definedName name="Slicer_مرکز_پرداخت">#N/A</definedName>
    <definedName name="Slicer_مرکز_پرداخت1">#N/A</definedName>
    <definedName name="Slicer_مرکز_هزینه">#N/A</definedName>
    <definedName name="Slicer_مرکز_هزینه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4" i="6" l="1"/>
  <c r="G14" i="6"/>
  <c r="D29" i="6" s="1"/>
  <c r="B13" i="6"/>
  <c r="B2" i="6"/>
  <c r="D24" i="1" l="1"/>
  <c r="B2" i="1"/>
  <c r="B13" i="1"/>
  <c r="G14" i="1"/>
  <c r="D29" i="1" s="1"/>
</calcChain>
</file>

<file path=xl/sharedStrings.xml><?xml version="1.0" encoding="utf-8"?>
<sst xmlns="http://schemas.openxmlformats.org/spreadsheetml/2006/main" count="47" uniqueCount="27">
  <si>
    <t>مرکز هزینه</t>
  </si>
  <si>
    <t>مرکز پرداخت</t>
  </si>
  <si>
    <t>توضیحات</t>
  </si>
  <si>
    <t>نام تنخواه دار</t>
  </si>
  <si>
    <t>ردیف</t>
  </si>
  <si>
    <t>منابع</t>
  </si>
  <si>
    <t>مرکز منابع</t>
  </si>
  <si>
    <t>شرح</t>
  </si>
  <si>
    <t>مبلغ</t>
  </si>
  <si>
    <t>تاریخ</t>
  </si>
  <si>
    <t>هزینه 1</t>
  </si>
  <si>
    <t>هزینه 2</t>
  </si>
  <si>
    <t>هزینه 3</t>
  </si>
  <si>
    <t>کارت 1</t>
  </si>
  <si>
    <t>کارت 2</t>
  </si>
  <si>
    <t>کارت 3</t>
  </si>
  <si>
    <t>Total</t>
  </si>
  <si>
    <t>گزارش</t>
  </si>
  <si>
    <t>ظرفیت تنخواه</t>
  </si>
  <si>
    <t>محمد محمدی</t>
  </si>
  <si>
    <t xml:space="preserve"> پول برگشــــــــت
 داده شـــــــــــــــده</t>
  </si>
  <si>
    <t xml:space="preserve"> جـــمـــع مــبــالــغ
 هـزیـنـه شــــــــده</t>
  </si>
  <si>
    <t xml:space="preserve"> شماره فرم</t>
  </si>
  <si>
    <t xml:space="preserve"> مانده فعلی تنخواه</t>
  </si>
  <si>
    <t xml:space="preserve"> از تاریخ</t>
  </si>
  <si>
    <t xml:space="preserve"> تا تاریخ</t>
  </si>
  <si>
    <t>کد مرکز هزینه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</si>
</sst>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 #,##0&quot;ريال&quot;_-;\-* #,##0&quot;ريال&quot;_-;_-* &quot;-&quot;&quot;ريال&quot;_-;_-@_-"/>
    <numFmt numFmtId="164" formatCode="##00\ &quot;/&quot;\ 00\ &quot;/&quot;\ 00"/>
    <numFmt numFmtId="165" formatCode="&quot;SO-&quot;0"/>
  </numFmts>
  <fonts count="10" x14ac:knownFonts="1">
    <font>
      <sz val="10"/>
      <color theme="1"/>
      <name val="Mustang"/>
      <family val="2"/>
      <charset val="178"/>
    </font>
    <font>
      <sz val="10"/>
      <color theme="1"/>
      <name val="Mustang"/>
      <family val="2"/>
      <charset val="178"/>
    </font>
    <font>
      <b/>
      <sz val="10"/>
      <color theme="0"/>
      <name val="Mustang"/>
      <family val="2"/>
      <charset val="178"/>
    </font>
    <font>
      <b/>
      <sz val="18"/>
      <color theme="1"/>
      <name val="Mustang"/>
      <family val="2"/>
    </font>
    <font>
      <sz val="10"/>
      <color theme="0" tint="-0.249977111117893"/>
      <name val="Mustang"/>
      <family val="2"/>
      <charset val="178"/>
    </font>
    <font>
      <sz val="10"/>
      <color theme="7"/>
      <name val="Mustang"/>
      <family val="2"/>
      <charset val="178"/>
    </font>
    <font>
      <sz val="14"/>
      <color theme="1" tint="0.34998626667073579"/>
      <name val="Mustang"/>
      <family val="2"/>
      <charset val="178"/>
    </font>
    <font>
      <b/>
      <sz val="36"/>
      <color theme="1"/>
      <name val="Mustang"/>
      <family val="2"/>
    </font>
    <font>
      <b/>
      <sz val="28"/>
      <color theme="7"/>
      <name val="Mustang"/>
      <family val="2"/>
    </font>
    <font>
      <b/>
      <sz val="28"/>
      <color theme="6" tint="-0.249977111117893"/>
      <name val="Mustang"/>
      <family val="2"/>
    </font>
  </fonts>
  <fills count="11">
    <fill>
      <patternFill patternType="none"/>
    </fill>
    <fill>
      <patternFill patternType="gray125"/>
    </fill>
    <fill>
      <patternFill patternType="solid">
        <fgColor theme="1" tint="0.34998626667073579"/>
        <bgColor indexed="64"/>
      </patternFill>
    </fill>
    <fill>
      <patternFill patternType="solid">
        <fgColor theme="7"/>
        <bgColor indexed="64"/>
      </patternFill>
    </fill>
    <fill>
      <patternFill patternType="solid">
        <fgColor theme="0" tint="-0.249977111117893"/>
        <bgColor indexed="64"/>
      </patternFill>
    </fill>
    <fill>
      <patternFill patternType="solid">
        <fgColor theme="6"/>
        <bgColor theme="4"/>
      </patternFill>
    </fill>
    <fill>
      <patternFill patternType="solid">
        <fgColor theme="6" tint="0.79998168889431442"/>
        <bgColor theme="4" tint="0.79998168889431442"/>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6" tint="0.79998168889431442"/>
        <bgColor indexed="64"/>
      </patternFill>
    </fill>
  </fills>
  <borders count="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3" fillId="10" borderId="0" xfId="0" applyFont="1" applyFill="1" applyAlignment="1">
      <alignment horizontal="center" vertical="center"/>
    </xf>
    <xf numFmtId="0" fontId="0" fillId="10" borderId="0" xfId="0" applyFill="1" applyAlignment="1">
      <alignment vertical="center"/>
    </xf>
    <xf numFmtId="0" fontId="0" fillId="0" borderId="0" xfId="0" applyAlignment="1">
      <alignment vertical="center"/>
    </xf>
    <xf numFmtId="0" fontId="7" fillId="8" borderId="0" xfId="0" applyFont="1" applyFill="1" applyAlignment="1">
      <alignment horizontal="center" vertical="center"/>
    </xf>
    <xf numFmtId="0" fontId="0" fillId="8" borderId="0" xfId="0" applyFill="1" applyAlignment="1">
      <alignment vertical="center"/>
    </xf>
    <xf numFmtId="0" fontId="5" fillId="4" borderId="0" xfId="0" applyFont="1" applyFill="1" applyAlignment="1">
      <alignment vertical="center"/>
    </xf>
    <xf numFmtId="0" fontId="4" fillId="3" borderId="0" xfId="0" applyFont="1" applyFill="1" applyAlignment="1">
      <alignment horizontal="center" vertical="center"/>
    </xf>
    <xf numFmtId="164" fontId="4" fillId="3" borderId="0" xfId="0" applyNumberFormat="1" applyFont="1" applyFill="1" applyAlignment="1">
      <alignment horizontal="center" vertical="center"/>
    </xf>
    <xf numFmtId="42" fontId="4" fillId="3" borderId="0" xfId="0" applyNumberFormat="1" applyFont="1" applyFill="1" applyAlignment="1">
      <alignment vertical="center"/>
    </xf>
    <xf numFmtId="0" fontId="3" fillId="8" borderId="0" xfId="0" applyFont="1" applyFill="1" applyAlignment="1">
      <alignment vertical="center"/>
    </xf>
    <xf numFmtId="0" fontId="0" fillId="0" borderId="0" xfId="0" applyAlignment="1">
      <alignment horizontal="center" vertical="center"/>
    </xf>
    <xf numFmtId="0" fontId="0" fillId="0" borderId="0" xfId="0" applyAlignment="1">
      <alignment horizontal="right" vertical="center"/>
    </xf>
    <xf numFmtId="42" fontId="0" fillId="0" borderId="0" xfId="0" applyNumberFormat="1" applyAlignment="1">
      <alignment vertical="center"/>
    </xf>
    <xf numFmtId="164" fontId="0" fillId="0" borderId="0" xfId="0" applyNumberFormat="1" applyAlignment="1">
      <alignment horizontal="center" vertical="center"/>
    </xf>
    <xf numFmtId="0" fontId="2" fillId="5" borderId="2" xfId="0" applyFont="1" applyFill="1" applyBorder="1" applyProtection="1">
      <protection locked="0"/>
    </xf>
    <xf numFmtId="0" fontId="0" fillId="0" borderId="0" xfId="0" applyProtection="1">
      <protection locked="0"/>
    </xf>
    <xf numFmtId="0" fontId="0" fillId="6" borderId="1" xfId="0" applyFill="1" applyBorder="1" applyProtection="1">
      <protection locked="0"/>
    </xf>
    <xf numFmtId="42" fontId="0" fillId="6" borderId="1" xfId="0" applyNumberFormat="1" applyFill="1" applyBorder="1" applyProtection="1">
      <protection locked="0"/>
    </xf>
    <xf numFmtId="165" fontId="0" fillId="0" borderId="0" xfId="0" applyNumberFormat="1" applyAlignment="1">
      <alignment horizontal="center" vertical="center"/>
    </xf>
    <xf numFmtId="0" fontId="4" fillId="2" borderId="0" xfId="0" applyFont="1" applyFill="1" applyAlignment="1">
      <alignment horizontal="right" vertical="center" wrapText="1"/>
    </xf>
    <xf numFmtId="0" fontId="8" fillId="7" borderId="0" xfId="0" applyFont="1" applyFill="1" applyAlignment="1">
      <alignment horizontal="center" vertical="center"/>
    </xf>
    <xf numFmtId="0" fontId="9" fillId="9" borderId="0" xfId="0" applyFont="1" applyFill="1" applyAlignment="1">
      <alignment horizontal="center" vertical="center"/>
    </xf>
    <xf numFmtId="9" fontId="6" fillId="4" borderId="0" xfId="1" applyFont="1" applyFill="1" applyAlignment="1" applyProtection="1">
      <alignment horizontal="center" vertical="center"/>
    </xf>
    <xf numFmtId="42" fontId="6" fillId="4" borderId="0" xfId="0" applyNumberFormat="1" applyFont="1" applyFill="1" applyAlignment="1">
      <alignment horizontal="center" vertical="center"/>
    </xf>
    <xf numFmtId="0" fontId="0" fillId="0" borderId="0" xfId="0" applyAlignment="1">
      <alignment horizontal="center" vertical="center"/>
    </xf>
  </cellXfs>
  <cellStyles count="2">
    <cellStyle name="Normal" xfId="0" builtinId="0"/>
    <cellStyle name="Percent" xfId="1" builtinId="5"/>
  </cellStyles>
  <dxfs count="52">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numFmt numFmtId="164" formatCode="##00\ &quot;/&quot;\ 00\ &quot;/&quot;\ 0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32" formatCode="_-* #,##0&quot;ريال&quot;_-;\-* #,##0&quot;ريال&quot;_-;_-* &quot;-&quot;&quot;ريال&quot;_-;_-@_-"/>
      <alignment horizontal="general" vertical="center" textRotation="0" wrapText="0" indent="0" justifyLastLine="0" shrinkToFit="0" readingOrder="0"/>
    </dxf>
    <dxf>
      <numFmt numFmtId="32" formatCode="_-* #,##0&quot;ريال&quot;_-;\-* #,##0&quot;ريال&quot;_-;_-* &quot;-&quot;&quot;ريال&quot;_-;_-@_-"/>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numFmt numFmtId="165" formatCode="&quot;SO-&quot;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numFmt numFmtId="164" formatCode="##00\ &quot;/&quot;\ 00\ &quot;/&quot;\ 0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32" formatCode="_-* #,##0&quot;ريال&quot;_-;\-* #,##0&quot;ريال&quot;_-;_-* &quot;-&quot;&quot;ريال&quot;_-;_-@_-"/>
      <alignment horizontal="general" vertical="center" textRotation="0" wrapText="0" indent="0" justifyLastLine="0" shrinkToFit="0" readingOrder="0"/>
    </dxf>
    <dxf>
      <numFmt numFmtId="32" formatCode="_-* #,##0&quot;ريال&quot;_-;\-* #,##0&quot;ريال&quot;_-;_-* &quot;-&quot;&quot;ريال&quot;_-;_-@_-"/>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numFmt numFmtId="165" formatCode="&quot;SO-&quot;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font>
        <color theme="1" tint="0.34998626667073579"/>
      </font>
      <border>
        <bottom style="thin">
          <color theme="6"/>
        </bottom>
        <vertical/>
        <horizontal/>
      </border>
    </dxf>
    <dxf>
      <font>
        <color theme="1"/>
      </font>
      <fill>
        <patternFill>
          <bgColor theme="6" tint="0.79998168889431442"/>
        </patternFill>
      </fill>
      <border>
        <left style="mediumDashed">
          <color theme="6"/>
        </left>
        <right style="mediumDashed">
          <color theme="6"/>
        </right>
        <top style="mediumDashed">
          <color theme="6"/>
        </top>
        <bottom style="mediumDashed">
          <color theme="6"/>
        </bottom>
        <vertical/>
        <horizontal/>
      </border>
    </dxf>
  </dxfs>
  <tableStyles count="1" defaultTableStyle="TableStyleMedium2" defaultPivotStyle="PivotStyleLight16">
    <tableStyle name="SlicerStyleDark3 2" pivot="0" table="0" count="10" xr9:uid="{90B7F785-C022-424E-981B-361DA17BE15B}">
      <tableStyleElement type="wholeTable" dxfId="51"/>
      <tableStyleElement type="headerRow" dxfId="5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calcChain" Target="calcChain.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6</xdr:col>
      <xdr:colOff>348975</xdr:colOff>
      <xdr:row>22</xdr:row>
      <xdr:rowOff>219075</xdr:rowOff>
    </xdr:from>
    <xdr:to>
      <xdr:col>8</xdr:col>
      <xdr:colOff>238125</xdr:colOff>
      <xdr:row>30</xdr:row>
      <xdr:rowOff>37875</xdr:rowOff>
    </xdr:to>
    <mc:AlternateContent xmlns:mc="http://schemas.openxmlformats.org/markup-compatibility/2006" xmlns:sle15="http://schemas.microsoft.com/office/drawing/2012/slicer">
      <mc:Choice Requires="sle15">
        <xdr:graphicFrame macro="">
          <xdr:nvGraphicFramePr>
            <xdr:cNvPr id="2" name="مرکز هزینه">
              <a:extLst>
                <a:ext uri="{FF2B5EF4-FFF2-40B4-BE49-F238E27FC236}">
                  <a16:creationId xmlns:a16="http://schemas.microsoft.com/office/drawing/2014/main" id="{4C1D65AB-363C-805E-C54F-E3808BB3FCD5}"/>
                </a:ext>
              </a:extLst>
            </xdr:cNvPr>
            <xdr:cNvGraphicFramePr/>
          </xdr:nvGraphicFramePr>
          <xdr:xfrm>
            <a:off x="0" y="0"/>
            <a:ext cx="0" cy="0"/>
          </xdr:xfrm>
          <a:graphic>
            <a:graphicData uri="http://schemas.microsoft.com/office/drawing/2010/slicer">
              <sle:slicer xmlns:sle="http://schemas.microsoft.com/office/drawing/2010/slicer" name="مرکز هزینه"/>
            </a:graphicData>
          </a:graphic>
        </xdr:graphicFrame>
      </mc:Choice>
      <mc:Fallback xmlns="">
        <xdr:sp macro="" textlink="">
          <xdr:nvSpPr>
            <xdr:cNvPr id="0" name=""/>
            <xdr:cNvSpPr>
              <a:spLocks noTextEdit="1"/>
            </xdr:cNvSpPr>
          </xdr:nvSpPr>
          <xdr:spPr>
            <a:xfrm>
              <a:off x="11233718325" y="76485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958575</xdr:colOff>
      <xdr:row>22</xdr:row>
      <xdr:rowOff>219075</xdr:rowOff>
    </xdr:from>
    <xdr:to>
      <xdr:col>9</xdr:col>
      <xdr:colOff>2266950</xdr:colOff>
      <xdr:row>30</xdr:row>
      <xdr:rowOff>37875</xdr:rowOff>
    </xdr:to>
    <mc:AlternateContent xmlns:mc="http://schemas.openxmlformats.org/markup-compatibility/2006" xmlns:sle15="http://schemas.microsoft.com/office/drawing/2012/slicer">
      <mc:Choice Requires="sle15">
        <xdr:graphicFrame macro="">
          <xdr:nvGraphicFramePr>
            <xdr:cNvPr id="3" name="مرکز پرداخت">
              <a:extLst>
                <a:ext uri="{FF2B5EF4-FFF2-40B4-BE49-F238E27FC236}">
                  <a16:creationId xmlns:a16="http://schemas.microsoft.com/office/drawing/2014/main" id="{FE6E2E21-A1ED-8348-DA07-22F4D4262AC2}"/>
                </a:ext>
              </a:extLst>
            </xdr:cNvPr>
            <xdr:cNvGraphicFramePr/>
          </xdr:nvGraphicFramePr>
          <xdr:xfrm>
            <a:off x="0" y="0"/>
            <a:ext cx="0" cy="0"/>
          </xdr:xfrm>
          <a:graphic>
            <a:graphicData uri="http://schemas.microsoft.com/office/drawing/2010/slicer">
              <sle:slicer xmlns:sle="http://schemas.microsoft.com/office/drawing/2010/slicer" name="مرکز پرداخت"/>
            </a:graphicData>
          </a:graphic>
        </xdr:graphicFrame>
      </mc:Choice>
      <mc:Fallback xmlns="">
        <xdr:sp macro="" textlink="">
          <xdr:nvSpPr>
            <xdr:cNvPr id="0" name=""/>
            <xdr:cNvSpPr>
              <a:spLocks noTextEdit="1"/>
            </xdr:cNvSpPr>
          </xdr:nvSpPr>
          <xdr:spPr>
            <a:xfrm>
              <a:off x="11230117875" y="76485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xdr:colOff>
      <xdr:row>1</xdr:row>
      <xdr:rowOff>0</xdr:rowOff>
    </xdr:from>
    <xdr:to>
      <xdr:col>2</xdr:col>
      <xdr:colOff>1</xdr:colOff>
      <xdr:row>4</xdr:row>
      <xdr:rowOff>0</xdr:rowOff>
    </xdr:to>
    <xdr:sp macro="[0]!Printing" textlink="">
      <xdr:nvSpPr>
        <xdr:cNvPr id="4" name="Rectangle 3">
          <a:extLst>
            <a:ext uri="{FF2B5EF4-FFF2-40B4-BE49-F238E27FC236}">
              <a16:creationId xmlns:a16="http://schemas.microsoft.com/office/drawing/2014/main" id="{050A065B-8477-B9B9-1592-317F5F16CEB9}"/>
            </a:ext>
          </a:extLst>
        </xdr:cNvPr>
        <xdr:cNvSpPr/>
      </xdr:nvSpPr>
      <xdr:spPr>
        <a:xfrm>
          <a:off x="11242319399" y="247650"/>
          <a:ext cx="657225" cy="742950"/>
        </a:xfrm>
        <a:prstGeom prst="rect">
          <a:avLst/>
        </a:prstGeom>
        <a:solidFill>
          <a:schemeClr val="accent4">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1" anchor="t"/>
        <a:lstStyle/>
        <a:p>
          <a:pPr algn="ctr" rtl="1"/>
          <a:r>
            <a:rPr lang="fa-IR" sz="3200" b="0">
              <a:solidFill>
                <a:schemeClr val="accent4"/>
              </a:solidFill>
            </a:rPr>
            <a:t>🖨 </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6</xdr:col>
      <xdr:colOff>348975</xdr:colOff>
      <xdr:row>22</xdr:row>
      <xdr:rowOff>219075</xdr:rowOff>
    </xdr:from>
    <xdr:to>
      <xdr:col>8</xdr:col>
      <xdr:colOff>238125</xdr:colOff>
      <xdr:row>30</xdr:row>
      <xdr:rowOff>37875</xdr:rowOff>
    </xdr:to>
    <mc:AlternateContent xmlns:mc="http://schemas.openxmlformats.org/markup-compatibility/2006" xmlns:sle15="http://schemas.microsoft.com/office/drawing/2012/slicer">
      <mc:Choice Requires="sle15">
        <xdr:graphicFrame macro="">
          <xdr:nvGraphicFramePr>
            <xdr:cNvPr id="2" name="مرکز هزینه 1">
              <a:extLst>
                <a:ext uri="{FF2B5EF4-FFF2-40B4-BE49-F238E27FC236}">
                  <a16:creationId xmlns:a16="http://schemas.microsoft.com/office/drawing/2014/main" id="{5F7CEDFE-0760-459B-980E-D51669B7B560}"/>
                </a:ext>
              </a:extLst>
            </xdr:cNvPr>
            <xdr:cNvGraphicFramePr/>
          </xdr:nvGraphicFramePr>
          <xdr:xfrm>
            <a:off x="0" y="0"/>
            <a:ext cx="0" cy="0"/>
          </xdr:xfrm>
          <a:graphic>
            <a:graphicData uri="http://schemas.microsoft.com/office/drawing/2010/slicer">
              <sle:slicer xmlns:sle="http://schemas.microsoft.com/office/drawing/2010/slicer" name="مرکز هزینه 1"/>
            </a:graphicData>
          </a:graphic>
        </xdr:graphicFrame>
      </mc:Choice>
      <mc:Fallback xmlns="">
        <xdr:sp macro="" textlink="">
          <xdr:nvSpPr>
            <xdr:cNvPr id="0" name=""/>
            <xdr:cNvSpPr>
              <a:spLocks noTextEdit="1"/>
            </xdr:cNvSpPr>
          </xdr:nvSpPr>
          <xdr:spPr>
            <a:xfrm>
              <a:off x="11233718325" y="56673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958575</xdr:colOff>
      <xdr:row>22</xdr:row>
      <xdr:rowOff>219075</xdr:rowOff>
    </xdr:from>
    <xdr:to>
      <xdr:col>9</xdr:col>
      <xdr:colOff>2266950</xdr:colOff>
      <xdr:row>30</xdr:row>
      <xdr:rowOff>37875</xdr:rowOff>
    </xdr:to>
    <mc:AlternateContent xmlns:mc="http://schemas.openxmlformats.org/markup-compatibility/2006" xmlns:sle15="http://schemas.microsoft.com/office/drawing/2012/slicer">
      <mc:Choice Requires="sle15">
        <xdr:graphicFrame macro="">
          <xdr:nvGraphicFramePr>
            <xdr:cNvPr id="3" name="مرکز پرداخت 1">
              <a:extLst>
                <a:ext uri="{FF2B5EF4-FFF2-40B4-BE49-F238E27FC236}">
                  <a16:creationId xmlns:a16="http://schemas.microsoft.com/office/drawing/2014/main" id="{50F66D89-9D1A-450D-B52A-B2228011EFD4}"/>
                </a:ext>
              </a:extLst>
            </xdr:cNvPr>
            <xdr:cNvGraphicFramePr/>
          </xdr:nvGraphicFramePr>
          <xdr:xfrm>
            <a:off x="0" y="0"/>
            <a:ext cx="0" cy="0"/>
          </xdr:xfrm>
          <a:graphic>
            <a:graphicData uri="http://schemas.microsoft.com/office/drawing/2010/slicer">
              <sle:slicer xmlns:sle="http://schemas.microsoft.com/office/drawing/2010/slicer" name="مرکز پرداخت 1"/>
            </a:graphicData>
          </a:graphic>
        </xdr:graphicFrame>
      </mc:Choice>
      <mc:Fallback xmlns="">
        <xdr:sp macro="" textlink="">
          <xdr:nvSpPr>
            <xdr:cNvPr id="0" name=""/>
            <xdr:cNvSpPr>
              <a:spLocks noTextEdit="1"/>
            </xdr:cNvSpPr>
          </xdr:nvSpPr>
          <xdr:spPr>
            <a:xfrm>
              <a:off x="11230117875" y="56673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xdr:colOff>
      <xdr:row>1</xdr:row>
      <xdr:rowOff>0</xdr:rowOff>
    </xdr:from>
    <xdr:to>
      <xdr:col>2</xdr:col>
      <xdr:colOff>1</xdr:colOff>
      <xdr:row>4</xdr:row>
      <xdr:rowOff>0</xdr:rowOff>
    </xdr:to>
    <xdr:sp macro="[0]!Printing" textlink="">
      <xdr:nvSpPr>
        <xdr:cNvPr id="4" name="Rectangle 3">
          <a:extLst>
            <a:ext uri="{FF2B5EF4-FFF2-40B4-BE49-F238E27FC236}">
              <a16:creationId xmlns:a16="http://schemas.microsoft.com/office/drawing/2014/main" id="{EFFA1397-5331-4052-AC62-BBE47925B281}"/>
            </a:ext>
          </a:extLst>
        </xdr:cNvPr>
        <xdr:cNvSpPr/>
      </xdr:nvSpPr>
      <xdr:spPr>
        <a:xfrm>
          <a:off x="11242319399" y="247650"/>
          <a:ext cx="657225" cy="742950"/>
        </a:xfrm>
        <a:prstGeom prst="rect">
          <a:avLst/>
        </a:prstGeom>
        <a:solidFill>
          <a:schemeClr val="accent4">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1" anchor="t"/>
        <a:lstStyle/>
        <a:p>
          <a:pPr algn="ctr" rtl="1"/>
          <a:r>
            <a:rPr lang="fa-IR" sz="3200" b="0">
              <a:solidFill>
                <a:schemeClr val="accent4"/>
              </a:solidFill>
            </a:rPr>
            <a:t>🖨 </a:t>
          </a:r>
        </a:p>
      </xdr:txBody>
    </xdr: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هزینه" xr10:uid="{3FFD7973-9DEB-4636-ACE8-0BF4B48C25F1}" sourceName="مرکز هزینه">
  <extLst>
    <x:ext xmlns:x15="http://schemas.microsoft.com/office/spreadsheetml/2010/11/main" uri="{2F2917AC-EB37-4324-AD4E-5DD8C200BD13}">
      <x15:tableSlicerCache tableId="3"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پرداخت" xr10:uid="{C50B6087-7D3D-4D6E-BB56-C29174FFC226}" sourceName="مرکز پرداخت">
  <extLst>
    <x:ext xmlns:x15="http://schemas.microsoft.com/office/spreadsheetml/2010/11/main" uri="{2F2917AC-EB37-4324-AD4E-5DD8C200BD13}">
      <x15:tableSlicerCache tableId="3"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هزینه1" xr10:uid="{33461AE6-9057-4103-8EC3-019CCE0461BE}" sourceName="مرکز هزینه">
  <extLst>
    <x:ext xmlns:x15="http://schemas.microsoft.com/office/spreadsheetml/2010/11/main" uri="{2F2917AC-EB37-4324-AD4E-5DD8C200BD13}">
      <x15:tableSlicerCache tableId="7"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پرداخت1" xr10:uid="{B0A6AEAF-1BB7-4879-BEA0-562F04184BD9}" sourceName="مرکز پرداخت">
  <extLst>
    <x:ext xmlns:x15="http://schemas.microsoft.com/office/spreadsheetml/2010/11/main" uri="{2F2917AC-EB37-4324-AD4E-5DD8C200BD13}">
      <x15:tableSlicerCache tableId="7"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رکز هزینه" xr10:uid="{A7461666-BE0D-48FE-9A20-B5EE18E24AC2}" cache="Slicer_مرکز_هزینه" caption="مرکز هزینه" columnCount="2" style="SlicerStyleDark3 2" rowHeight="241300"/>
  <slicer name="مرکز پرداخت" xr10:uid="{4042C838-5D2F-45C0-89DA-E8793B21FEF2}" cache="Slicer_مرکز_پرداخت" caption="مرکز پرداخت" columnCount="2" style="SlicerStyleDark3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رکز هزینه 1" xr10:uid="{EF6B6FF6-A829-43DA-A4D6-17E896C21415}" cache="Slicer_مرکز_هزینه1" caption="مرکز هزینه" columnCount="2" style="SlicerStyleDark3 2" rowHeight="241300"/>
  <slicer name="مرکز پرداخت 1" xr10:uid="{335B2830-AD9F-4E04-98B3-CF563C8357C2}" cache="Slicer_مرکز_پرداخت1" caption="مرکز پرداخت" columnCount="2" style="SlicerStyleDark3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320A0B-34F3-48CF-8F8B-1F25C6989E9A}" name="T_Form" displayName="T_Form" ref="B12:J14" totalsRowCount="1" headerRowDxfId="49" dataDxfId="48" totalsRowDxfId="47">
  <autoFilter ref="B12:J13" xr:uid="{64320A0B-34F3-48CF-8F8B-1F25C6989E9A}"/>
  <tableColumns count="9">
    <tableColumn id="1" xr3:uid="{65A156B0-1275-4473-AC0A-D7936E29AEC5}" name="ردیف" totalsRowLabel="Total" dataDxfId="46" totalsRowDxfId="45">
      <calculatedColumnFormula>ROW()-12</calculatedColumnFormula>
    </tableColumn>
    <tableColumn id="2" xr3:uid="{80885EA4-B05F-4345-8C8A-C0616EBCD821}" name="منابع" dataDxfId="44" totalsRowDxfId="43"/>
    <tableColumn id="3" xr3:uid="{D1679CED-3B29-4E28-874B-05A2A7607F01}" name="مرکز منابع" dataDxfId="42" totalsRowDxfId="41"/>
    <tableColumn id="4" xr3:uid="{8836605B-1968-48CE-90BB-A9DD8523175D}" name="مرکز هزینه" dataDxfId="40" totalsRowDxfId="39"/>
    <tableColumn id="5" xr3:uid="{53D7CA20-3A6F-4E16-9EED-C0C70E012F3F}" name="شرح" dataDxfId="38" totalsRowDxfId="37"/>
    <tableColumn id="6" xr3:uid="{7DE9F6C6-6374-418A-A2C9-8DF3816F4B5B}" name="مبلغ" totalsRowFunction="sum" dataDxfId="36" totalsRowDxfId="35"/>
    <tableColumn id="7" xr3:uid="{64375F3B-3A5A-41F8-8B9D-048B940F96C7}" name="مرکز پرداخت" dataDxfId="34" totalsRowDxfId="33"/>
    <tableColumn id="8" xr3:uid="{257C4704-E6E8-4EF5-BA78-61383B2579A7}" name="تاریخ" dataDxfId="32" totalsRowDxfId="31"/>
    <tableColumn id="9" xr3:uid="{93ED9E9D-CC42-40A2-8BF9-E05C7E5AA265}" name="توضیحات" dataDxfId="30" totalsRowDxfId="29"/>
  </tableColumns>
  <tableStyleInfo name="TableStyleMedium1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B30E27-58C2-43D2-87D2-773B8F0A2F64}" name="T_CostCenter" displayName="T_CostCenter" ref="F2:G5" totalsRowShown="0" headerRowDxfId="28" dataDxfId="27">
  <autoFilter ref="F2:G5" xr:uid="{7BB30E27-58C2-43D2-87D2-773B8F0A2F64}"/>
  <tableColumns count="2">
    <tableColumn id="1" xr3:uid="{7D35F201-6CB2-43A8-B7FA-E64E938C4098}" name="مرکز هزینه" dataDxfId="26"/>
    <tableColumn id="2" xr3:uid="{32E10A20-CC83-42C1-A6D8-F8096C349A6D}" name="کد مرکز هزینه" dataDxfId="2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82ACCC-F8F5-4380-A027-DC10C7137837}" name="T_PayCenter" displayName="T_PayCenter" ref="I2:J5" totalsRowShown="0" headerRowDxfId="24" dataDxfId="23">
  <autoFilter ref="I2:J5" xr:uid="{3682ACCC-F8F5-4380-A027-DC10C7137837}"/>
  <tableColumns count="2">
    <tableColumn id="1" xr3:uid="{9B5E5DC6-7A82-46E6-8514-C7AA2085504F}" name="مرکز پرداخت" dataDxfId="22"/>
    <tableColumn id="2" xr3:uid="{DADA1AD2-C380-42DF-A895-A642C13E76B7}" name="توضیحات" dataDxfId="21"/>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29402A-5369-4F00-92C5-CA7DFD8F9E10}" name="T_Form8" displayName="T_Form8" ref="B12:J14" totalsRowCount="1" headerRowDxfId="20" dataDxfId="19" totalsRowDxfId="18">
  <autoFilter ref="B12:J13" xr:uid="{64320A0B-34F3-48CF-8F8B-1F25C6989E9A}"/>
  <tableColumns count="9">
    <tableColumn id="1" xr3:uid="{4F54A1BA-337B-4DF6-8B67-41457C68258F}" name="ردیف" totalsRowLabel="Total" dataDxfId="17" totalsRowDxfId="16">
      <calculatedColumnFormula>ROW()-12</calculatedColumnFormula>
    </tableColumn>
    <tableColumn id="2" xr3:uid="{F62F9758-EEB0-4304-9C67-BE00E5713157}" name="منابع" dataDxfId="15" totalsRowDxfId="14"/>
    <tableColumn id="3" xr3:uid="{EC2FE00B-B478-4266-A8FB-47DAA8224DEA}" name="مرکز منابع" dataDxfId="13" totalsRowDxfId="12"/>
    <tableColumn id="4" xr3:uid="{00D817E3-72E2-4615-80B2-B4D6D7763FBE}" name="مرکز هزینه" dataDxfId="11" totalsRowDxfId="10"/>
    <tableColumn id="5" xr3:uid="{9BB59399-0899-44E2-A5CE-88B9D6DF0F10}" name="شرح" dataDxfId="9" totalsRowDxfId="8"/>
    <tableColumn id="6" xr3:uid="{AADA27B8-EA99-4399-9260-5496E46802F0}" name="مبلغ" totalsRowFunction="sum" dataDxfId="7" totalsRowDxfId="6"/>
    <tableColumn id="7" xr3:uid="{D1FB9F99-14E9-43EA-8B9C-8FEF53F1DC29}" name="مرکز پرداخت" dataDxfId="5" totalsRowDxfId="4"/>
    <tableColumn id="8" xr3:uid="{8C557E88-15BA-4E79-B1EE-A5314648AAA2}" name="تاریخ" dataDxfId="3" totalsRowDxfId="2"/>
    <tableColumn id="9" xr3:uid="{C4B35E29-7435-496B-87BC-4D073164B129}" name="توضیحات" dataDxfId="1" totalsRowDxfId="0"/>
  </tableColumns>
  <tableStyleInfo name="TableStyleMedium12" showFirstColumn="1"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CAC64-C97A-4857-A79C-B60FB7F1A783}">
  <sheetPr codeName="Sheet1">
    <outlinePr summaryBelow="0" summaryRight="0"/>
    <pageSetUpPr fitToPage="1"/>
  </sheetPr>
  <dimension ref="B2:J33"/>
  <sheetViews>
    <sheetView showGridLines="0" rightToLeft="1" tabSelected="1" zoomScaleNormal="100" workbookViewId="0">
      <selection activeCell="F7" sqref="F7"/>
    </sheetView>
  </sheetViews>
  <sheetFormatPr defaultRowHeight="20.100000000000001" customHeight="1" x14ac:dyDescent="0.4"/>
  <cols>
    <col min="1" max="1" width="3.375" style="3" customWidth="1"/>
    <col min="2" max="2" width="8.625" style="3" customWidth="1"/>
    <col min="3" max="3" width="12.625" style="3" customWidth="1"/>
    <col min="4" max="4" width="16.625" style="3" customWidth="1"/>
    <col min="5" max="6" width="20.625" style="3" customWidth="1"/>
    <col min="7" max="7" width="22.625" style="3" customWidth="1"/>
    <col min="8" max="8" width="16.625" style="3" customWidth="1"/>
    <col min="9" max="9" width="20.625" style="3" customWidth="1"/>
    <col min="10" max="10" width="40.625" style="3" customWidth="1"/>
    <col min="11" max="16384" width="9" style="3"/>
  </cols>
  <sheetData>
    <row r="2" spans="2:10" ht="20.100000000000001" customHeight="1" x14ac:dyDescent="0.4">
      <c r="B2" s="21" t="str">
        <f>_xlfn.CONCAT("تنخواه شماره ", P_Number, " ", P_Name)</f>
        <v>تنخواه شماره 0 محمد محمدی</v>
      </c>
      <c r="C2" s="21"/>
      <c r="D2" s="21"/>
      <c r="E2" s="21"/>
      <c r="F2" s="21"/>
      <c r="G2" s="21"/>
      <c r="H2" s="21"/>
      <c r="I2" s="21"/>
      <c r="J2" s="21"/>
    </row>
    <row r="3" spans="2:10" ht="20.100000000000001" customHeight="1" x14ac:dyDescent="0.4">
      <c r="B3" s="21"/>
      <c r="C3" s="21"/>
      <c r="D3" s="21"/>
      <c r="E3" s="21"/>
      <c r="F3" s="21"/>
      <c r="G3" s="21"/>
      <c r="H3" s="21"/>
      <c r="I3" s="21"/>
      <c r="J3" s="21"/>
    </row>
    <row r="4" spans="2:10" ht="20.100000000000001" customHeight="1" x14ac:dyDescent="0.4">
      <c r="B4" s="21"/>
      <c r="C4" s="21"/>
      <c r="D4" s="21"/>
      <c r="E4" s="21"/>
      <c r="F4" s="21"/>
      <c r="G4" s="21"/>
      <c r="H4" s="21"/>
      <c r="I4" s="21"/>
      <c r="J4" s="21"/>
    </row>
    <row r="5" spans="2:10" ht="20.100000000000001" customHeight="1" x14ac:dyDescent="0.4">
      <c r="B5" s="4"/>
      <c r="C5" s="4"/>
      <c r="D5" s="4"/>
      <c r="E5" s="4"/>
      <c r="F5" s="4"/>
      <c r="G5" s="4"/>
      <c r="H5" s="4"/>
      <c r="I5" s="4"/>
      <c r="J5" s="4"/>
    </row>
    <row r="6" spans="2:10" ht="20.100000000000001" customHeight="1" x14ac:dyDescent="0.4">
      <c r="B6" s="4"/>
      <c r="C6" s="4"/>
      <c r="D6" s="4"/>
      <c r="E6" s="4"/>
      <c r="F6" s="4"/>
      <c r="G6" s="4"/>
      <c r="H6" s="4"/>
      <c r="I6" s="4"/>
      <c r="J6" s="4"/>
    </row>
    <row r="7" spans="2:10" ht="20.100000000000001" customHeight="1" x14ac:dyDescent="0.4">
      <c r="B7" s="5"/>
      <c r="C7" s="5"/>
      <c r="D7" s="5"/>
      <c r="E7" s="6" t="s">
        <v>22</v>
      </c>
      <c r="F7" s="7">
        <v>0</v>
      </c>
      <c r="G7" s="5"/>
      <c r="H7" s="6" t="s">
        <v>24</v>
      </c>
      <c r="I7" s="8"/>
      <c r="J7" s="5"/>
    </row>
    <row r="8" spans="2:10" ht="20.100000000000001" customHeight="1" x14ac:dyDescent="0.4">
      <c r="B8" s="5"/>
      <c r="C8" s="5"/>
      <c r="D8" s="5"/>
      <c r="E8" s="5"/>
      <c r="F8" s="5"/>
      <c r="G8" s="5"/>
      <c r="H8" s="5"/>
      <c r="I8" s="5"/>
      <c r="J8" s="5"/>
    </row>
    <row r="9" spans="2:10" ht="20.100000000000001" customHeight="1" x14ac:dyDescent="0.4">
      <c r="B9" s="5"/>
      <c r="C9" s="5"/>
      <c r="D9" s="5"/>
      <c r="E9" s="6" t="s">
        <v>23</v>
      </c>
      <c r="F9" s="9"/>
      <c r="G9" s="5"/>
      <c r="H9" s="6" t="s">
        <v>25</v>
      </c>
      <c r="I9" s="8"/>
      <c r="J9" s="5"/>
    </row>
    <row r="10" spans="2:10" ht="20.100000000000001" customHeight="1" x14ac:dyDescent="0.4">
      <c r="B10" s="10"/>
      <c r="C10" s="5"/>
      <c r="D10" s="5"/>
      <c r="E10" s="5"/>
      <c r="F10" s="5"/>
      <c r="G10" s="5"/>
      <c r="H10" s="5"/>
      <c r="I10" s="5"/>
      <c r="J10" s="5"/>
    </row>
    <row r="11" spans="2:10" ht="20.100000000000001" customHeight="1" x14ac:dyDescent="0.4">
      <c r="B11" s="10"/>
      <c r="C11" s="5"/>
      <c r="D11" s="5"/>
      <c r="E11" s="5"/>
      <c r="F11" s="5"/>
      <c r="G11" s="5"/>
      <c r="H11" s="5"/>
      <c r="I11" s="5"/>
      <c r="J11" s="5"/>
    </row>
    <row r="12" spans="2:10" ht="20.100000000000001" customHeight="1" x14ac:dyDescent="0.4">
      <c r="B12" s="11" t="s">
        <v>4</v>
      </c>
      <c r="C12" s="11" t="s">
        <v>5</v>
      </c>
      <c r="D12" s="11" t="s">
        <v>6</v>
      </c>
      <c r="E12" s="11" t="s">
        <v>0</v>
      </c>
      <c r="F12" s="11" t="s">
        <v>7</v>
      </c>
      <c r="G12" s="11" t="s">
        <v>8</v>
      </c>
      <c r="H12" s="11" t="s">
        <v>1</v>
      </c>
      <c r="I12" s="11" t="s">
        <v>9</v>
      </c>
      <c r="J12" s="11" t="s">
        <v>2</v>
      </c>
    </row>
    <row r="13" spans="2:10" ht="20.100000000000001" customHeight="1" x14ac:dyDescent="0.4">
      <c r="B13" s="11">
        <f t="shared" ref="B13" si="0">ROW()-12</f>
        <v>1</v>
      </c>
      <c r="C13" s="11"/>
      <c r="D13" s="19"/>
      <c r="E13" s="11"/>
      <c r="F13" s="12"/>
      <c r="G13" s="13"/>
      <c r="H13" s="11"/>
      <c r="I13" s="14"/>
      <c r="J13" s="12"/>
    </row>
    <row r="14" spans="2:10" ht="20.100000000000001" customHeight="1" x14ac:dyDescent="0.4">
      <c r="B14" s="11" t="s">
        <v>16</v>
      </c>
      <c r="C14" s="11"/>
      <c r="D14" s="11"/>
      <c r="E14" s="11"/>
      <c r="F14" s="11"/>
      <c r="G14" s="13">
        <f>SUBTOTAL(109,T_Form[مبلغ])</f>
        <v>0</v>
      </c>
      <c r="H14" s="11"/>
      <c r="I14" s="11"/>
      <c r="J14" s="11"/>
    </row>
    <row r="15" spans="2:10" ht="20.100000000000001" customHeight="1" x14ac:dyDescent="0.4">
      <c r="B15" s="25"/>
      <c r="C15" s="25"/>
      <c r="D15" s="25"/>
      <c r="E15" s="25"/>
      <c r="F15" s="25"/>
      <c r="G15" s="25"/>
      <c r="H15" s="25"/>
      <c r="I15" s="25"/>
      <c r="J15" s="25"/>
    </row>
    <row r="16" spans="2:10" ht="20.100000000000001" customHeight="1" x14ac:dyDescent="0.4">
      <c r="B16" s="25"/>
      <c r="C16" s="25"/>
      <c r="D16" s="25"/>
      <c r="E16" s="25"/>
      <c r="F16" s="25"/>
      <c r="G16" s="25"/>
      <c r="H16" s="25"/>
      <c r="I16" s="25"/>
      <c r="J16" s="25"/>
    </row>
    <row r="17" spans="2:10" ht="20.100000000000001" customHeight="1" x14ac:dyDescent="0.4">
      <c r="B17" s="25"/>
      <c r="C17" s="25"/>
      <c r="D17" s="25"/>
      <c r="E17" s="25"/>
      <c r="F17" s="25"/>
      <c r="G17" s="25"/>
      <c r="H17" s="25"/>
      <c r="I17" s="25"/>
      <c r="J17" s="25"/>
    </row>
    <row r="18" spans="2:10" ht="20.100000000000001" customHeight="1" x14ac:dyDescent="0.4">
      <c r="B18" s="22" t="s">
        <v>17</v>
      </c>
      <c r="C18" s="22"/>
      <c r="D18" s="22"/>
      <c r="E18" s="22"/>
      <c r="F18" s="22"/>
      <c r="G18" s="22"/>
      <c r="H18" s="22"/>
      <c r="I18" s="22"/>
      <c r="J18" s="22"/>
    </row>
    <row r="19" spans="2:10" ht="20.100000000000001" customHeight="1" x14ac:dyDescent="0.4">
      <c r="B19" s="22"/>
      <c r="C19" s="22"/>
      <c r="D19" s="22"/>
      <c r="E19" s="22"/>
      <c r="F19" s="22"/>
      <c r="G19" s="22"/>
      <c r="H19" s="22"/>
      <c r="I19" s="22"/>
      <c r="J19" s="22"/>
    </row>
    <row r="20" spans="2:10" ht="20.100000000000001" customHeight="1" x14ac:dyDescent="0.4">
      <c r="B20" s="22"/>
      <c r="C20" s="22"/>
      <c r="D20" s="22"/>
      <c r="E20" s="22"/>
      <c r="F20" s="22"/>
      <c r="G20" s="22"/>
      <c r="H20" s="22"/>
      <c r="I20" s="22"/>
      <c r="J20" s="22"/>
    </row>
    <row r="21" spans="2:10" ht="20.100000000000001" customHeight="1" x14ac:dyDescent="0.4">
      <c r="B21" s="1"/>
      <c r="C21" s="1"/>
      <c r="D21" s="1"/>
      <c r="E21" s="1"/>
      <c r="F21" s="1"/>
      <c r="G21" s="1"/>
      <c r="H21" s="1"/>
      <c r="I21" s="1"/>
      <c r="J21" s="1"/>
    </row>
    <row r="22" spans="2:10" ht="20.100000000000001" customHeight="1" x14ac:dyDescent="0.4">
      <c r="B22" s="1"/>
      <c r="C22" s="1"/>
      <c r="D22" s="1"/>
      <c r="E22" s="1"/>
      <c r="F22" s="1"/>
      <c r="G22" s="1"/>
      <c r="H22" s="1"/>
      <c r="I22" s="1"/>
      <c r="J22" s="1"/>
    </row>
    <row r="23" spans="2:10" ht="20.100000000000001" customHeight="1" x14ac:dyDescent="0.4">
      <c r="B23" s="2"/>
      <c r="C23" s="2"/>
      <c r="D23" s="2"/>
      <c r="E23" s="2"/>
      <c r="F23" s="2"/>
      <c r="G23" s="2"/>
      <c r="H23" s="2"/>
      <c r="I23" s="2"/>
      <c r="J23" s="2"/>
    </row>
    <row r="24" spans="2:10" ht="20.100000000000001" customHeight="1" x14ac:dyDescent="0.4">
      <c r="B24" s="2"/>
      <c r="C24" s="20" t="s">
        <v>20</v>
      </c>
      <c r="D24" s="23">
        <f>(SUM(T_Form[مبلغ]) + P_Remaining) / P_Capacity</f>
        <v>0</v>
      </c>
      <c r="E24" s="23"/>
      <c r="F24" s="2"/>
      <c r="G24" s="2"/>
      <c r="H24" s="2"/>
      <c r="I24" s="2"/>
      <c r="J24" s="2"/>
    </row>
    <row r="25" spans="2:10" ht="20.100000000000001" customHeight="1" x14ac:dyDescent="0.4">
      <c r="B25" s="2"/>
      <c r="C25" s="20"/>
      <c r="D25" s="23"/>
      <c r="E25" s="23"/>
      <c r="F25" s="2"/>
      <c r="G25" s="2"/>
      <c r="H25" s="2"/>
      <c r="I25" s="2"/>
      <c r="J25" s="2"/>
    </row>
    <row r="26" spans="2:10" ht="20.100000000000001" customHeight="1" x14ac:dyDescent="0.4">
      <c r="B26" s="2"/>
      <c r="C26" s="2"/>
      <c r="D26" s="2"/>
      <c r="E26" s="2"/>
      <c r="F26" s="2"/>
      <c r="G26" s="2"/>
      <c r="H26" s="2"/>
      <c r="I26" s="2"/>
      <c r="J26" s="2"/>
    </row>
    <row r="27" spans="2:10" ht="20.100000000000001" customHeight="1" x14ac:dyDescent="0.4">
      <c r="B27" s="2"/>
      <c r="C27" s="2"/>
      <c r="D27" s="2"/>
      <c r="E27" s="2"/>
      <c r="F27" s="2"/>
      <c r="G27" s="2"/>
      <c r="H27" s="2"/>
      <c r="I27" s="2"/>
      <c r="J27" s="2"/>
    </row>
    <row r="28" spans="2:10" ht="20.100000000000001" customHeight="1" x14ac:dyDescent="0.4">
      <c r="B28" s="2"/>
      <c r="C28" s="2"/>
      <c r="D28" s="2"/>
      <c r="E28" s="2"/>
      <c r="F28" s="2"/>
      <c r="G28" s="2"/>
      <c r="H28" s="2"/>
      <c r="I28" s="2"/>
      <c r="J28" s="2"/>
    </row>
    <row r="29" spans="2:10" ht="20.100000000000001" customHeight="1" x14ac:dyDescent="0.4">
      <c r="B29" s="2"/>
      <c r="C29" s="20" t="s">
        <v>21</v>
      </c>
      <c r="D29" s="24">
        <f>T_Form[[#Totals],[مبلغ]]</f>
        <v>0</v>
      </c>
      <c r="E29" s="24"/>
      <c r="F29" s="2"/>
      <c r="G29" s="2"/>
      <c r="H29" s="2"/>
      <c r="I29" s="2"/>
      <c r="J29" s="2"/>
    </row>
    <row r="30" spans="2:10" ht="20.100000000000001" customHeight="1" x14ac:dyDescent="0.4">
      <c r="B30" s="2"/>
      <c r="C30" s="20"/>
      <c r="D30" s="24"/>
      <c r="E30" s="24"/>
      <c r="F30" s="2"/>
      <c r="G30" s="2"/>
      <c r="H30" s="2"/>
      <c r="I30" s="2"/>
      <c r="J30" s="2"/>
    </row>
    <row r="31" spans="2:10" ht="20.100000000000001" customHeight="1" x14ac:dyDescent="0.4">
      <c r="B31" s="2"/>
      <c r="C31" s="2"/>
      <c r="D31" s="2"/>
      <c r="E31" s="2"/>
      <c r="F31" s="2"/>
      <c r="G31" s="2"/>
      <c r="H31" s="2"/>
      <c r="I31" s="2"/>
      <c r="J31" s="2"/>
    </row>
    <row r="32" spans="2:10" ht="20.100000000000001" customHeight="1" x14ac:dyDescent="0.4">
      <c r="B32" s="2"/>
      <c r="C32" s="2"/>
      <c r="D32" s="2"/>
      <c r="E32" s="2"/>
      <c r="F32" s="2"/>
      <c r="G32" s="2"/>
      <c r="H32" s="2"/>
      <c r="I32" s="2"/>
      <c r="J32" s="2"/>
    </row>
    <row r="33" spans="2:10" ht="20.100000000000001" customHeight="1" x14ac:dyDescent="0.4">
      <c r="B33" s="2"/>
      <c r="C33" s="2"/>
      <c r="D33" s="2"/>
      <c r="E33" s="2"/>
      <c r="F33" s="2"/>
      <c r="G33" s="2"/>
      <c r="H33" s="2"/>
      <c r="I33" s="2"/>
      <c r="J33" s="2"/>
    </row>
  </sheetData>
  <mergeCells count="7">
    <mergeCell ref="C24:C25"/>
    <mergeCell ref="C29:C30"/>
    <mergeCell ref="B2:J4"/>
    <mergeCell ref="B18:J20"/>
    <mergeCell ref="D24:E25"/>
    <mergeCell ref="D29:E30"/>
    <mergeCell ref="B15:J17"/>
  </mergeCells>
  <conditionalFormatting sqref="D24">
    <cfRule type="dataBar" priority="1">
      <dataBar>
        <cfvo type="num" val="0"/>
        <cfvo type="num" val="1"/>
        <color theme="6"/>
      </dataBar>
      <extLst>
        <ext xmlns:x14="http://schemas.microsoft.com/office/spreadsheetml/2009/9/main" uri="{B025F937-C7B1-47D3-B67F-A62EFF666E3E}">
          <x14:id>{0CD565D8-1F85-48C3-B48B-40A50DB93F49}</x14:id>
        </ext>
      </extLst>
    </cfRule>
  </conditionalFormatting>
  <dataValidations count="3">
    <dataValidation type="list" allowBlank="1" showInputMessage="1" showErrorMessage="1" error="فقط از لیست کشویی می‌تونی انتخاب کنی" sqref="E13" xr:uid="{C8D99532-0EFE-4DF2-A303-3112DA28F473}">
      <formula1>L_CostCenter</formula1>
    </dataValidation>
    <dataValidation type="list" allowBlank="1" showInputMessage="1" showErrorMessage="1" error="فقط از لیست کشویی می‌تونی انتخاب کنی" sqref="H13" xr:uid="{3F56F5B5-0239-4D46-9AD2-A7E480B61615}">
      <formula1>L_PayCenter</formula1>
    </dataValidation>
    <dataValidation type="list" showInputMessage="1" showErrorMessage="1" error="دارد یا ندارد را انتخاب کنید" sqref="C13" xr:uid="{DD423E57-35DD-4B47-9614-D385FBBEA787}">
      <formula1>"دارد, ندارد"</formula1>
    </dataValidation>
  </dataValidations>
  <printOptions horizontalCentered="1"/>
  <pageMargins left="0.55118110236220497" right="0.55118110236220497" top="0.27559055118110198" bottom="0.55118110236220497" header="0.27559055118110198" footer="0.27559055118110198"/>
  <pageSetup paperSize="9" scale="69" fitToHeight="0" orientation="landscape" r:id="rId1"/>
  <headerFooter>
    <oddFooter>&amp;CPage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0CD565D8-1F85-48C3-B48B-40A50DB93F49}">
            <x14:dataBar minLength="0" maxLength="100" border="1" gradient="0" direction="leftToRight">
              <x14:cfvo type="num">
                <xm:f>0</xm:f>
              </x14:cfvo>
              <x14:cfvo type="num">
                <xm:f>1</xm:f>
              </x14:cfvo>
              <x14:borderColor theme="0" tint="-0.249977111117893"/>
              <x14:negativeFillColor rgb="FFFF0000"/>
              <x14:axisColor rgb="FF000000"/>
            </x14:dataBar>
          </x14:cfRule>
          <xm:sqref>D24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285D-3B26-4307-93D3-1D45634A4464}">
  <sheetPr codeName="Sheet2">
    <tabColor theme="7"/>
  </sheetPr>
  <dimension ref="B2:J5"/>
  <sheetViews>
    <sheetView rightToLeft="1" workbookViewId="0">
      <selection activeCell="B3" sqref="B3"/>
    </sheetView>
  </sheetViews>
  <sheetFormatPr defaultRowHeight="16.5" x14ac:dyDescent="0.4"/>
  <cols>
    <col min="1" max="1" width="3.125" style="16" customWidth="1"/>
    <col min="2" max="2" width="20.625" style="16" customWidth="1"/>
    <col min="3" max="3" width="3.125" style="16" customWidth="1"/>
    <col min="4" max="4" width="20.625" style="16" customWidth="1"/>
    <col min="5" max="5" width="3.125" style="16" customWidth="1"/>
    <col min="6" max="7" width="20.625" style="16" customWidth="1"/>
    <col min="8" max="8" width="3.125" style="16" customWidth="1"/>
    <col min="9" max="10" width="20.625" style="16" customWidth="1"/>
    <col min="11" max="16384" width="9" style="16"/>
  </cols>
  <sheetData>
    <row r="2" spans="2:10" x14ac:dyDescent="0.4">
      <c r="B2" s="15" t="s">
        <v>3</v>
      </c>
      <c r="D2" s="15" t="s">
        <v>18</v>
      </c>
      <c r="F2" s="16" t="s">
        <v>0</v>
      </c>
      <c r="G2" s="16" t="s">
        <v>26</v>
      </c>
      <c r="I2" s="16" t="s">
        <v>1</v>
      </c>
      <c r="J2" s="16" t="s">
        <v>2</v>
      </c>
    </row>
    <row r="3" spans="2:10" x14ac:dyDescent="0.4">
      <c r="B3" s="17" t="s">
        <v>19</v>
      </c>
      <c r="D3" s="18">
        <v>50000000</v>
      </c>
      <c r="F3" s="16" t="s">
        <v>10</v>
      </c>
      <c r="I3" s="16" t="s">
        <v>13</v>
      </c>
    </row>
    <row r="4" spans="2:10" x14ac:dyDescent="0.4">
      <c r="F4" s="16" t="s">
        <v>11</v>
      </c>
      <c r="I4" s="16" t="s">
        <v>14</v>
      </c>
    </row>
    <row r="5" spans="2:10" x14ac:dyDescent="0.4">
      <c r="F5" s="16" t="s">
        <v>12</v>
      </c>
      <c r="I5" s="16" t="s">
        <v>15</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7DF7A-4954-479F-9A13-F13C731EAE23}">
  <sheetPr codeName="Sheet3">
    <outlinePr summaryBelow="0" summaryRight="0"/>
    <pageSetUpPr fitToPage="1"/>
  </sheetPr>
  <dimension ref="B2:J33"/>
  <sheetViews>
    <sheetView showGridLines="0" rightToLeft="1" zoomScaleNormal="100" workbookViewId="0">
      <selection activeCell="F7" sqref="F7"/>
    </sheetView>
  </sheetViews>
  <sheetFormatPr defaultRowHeight="20.100000000000001" customHeight="1" x14ac:dyDescent="0.4"/>
  <cols>
    <col min="1" max="1" width="3.375" style="3" customWidth="1"/>
    <col min="2" max="2" width="8.625" style="3" customWidth="1"/>
    <col min="3" max="3" width="12.625" style="3" customWidth="1"/>
    <col min="4" max="4" width="16.625" style="3" customWidth="1"/>
    <col min="5" max="6" width="20.625" style="3" customWidth="1"/>
    <col min="7" max="7" width="22.625" style="3" customWidth="1"/>
    <col min="8" max="8" width="16.625" style="3" customWidth="1"/>
    <col min="9" max="9" width="20.625" style="3" customWidth="1"/>
    <col min="10" max="10" width="40.625" style="3" customWidth="1"/>
    <col min="11" max="16384" width="9" style="3"/>
  </cols>
  <sheetData>
    <row r="2" spans="2:10" ht="20.100000000000001" customHeight="1" x14ac:dyDescent="0.4">
      <c r="B2" s="21" t="str">
        <f>_xlfn.CONCAT("تنخواه شماره ", P_Number, " ", P_Name)</f>
        <v>تنخواه شماره 1 محمد محمدی</v>
      </c>
      <c r="C2" s="21"/>
      <c r="D2" s="21"/>
      <c r="E2" s="21"/>
      <c r="F2" s="21"/>
      <c r="G2" s="21"/>
      <c r="H2" s="21"/>
      <c r="I2" s="21"/>
      <c r="J2" s="21"/>
    </row>
    <row r="3" spans="2:10" ht="20.100000000000001" customHeight="1" x14ac:dyDescent="0.4">
      <c r="B3" s="21"/>
      <c r="C3" s="21"/>
      <c r="D3" s="21"/>
      <c r="E3" s="21"/>
      <c r="F3" s="21"/>
      <c r="G3" s="21"/>
      <c r="H3" s="21"/>
      <c r="I3" s="21"/>
      <c r="J3" s="21"/>
    </row>
    <row r="4" spans="2:10" ht="20.100000000000001" customHeight="1" x14ac:dyDescent="0.4">
      <c r="B4" s="21"/>
      <c r="C4" s="21"/>
      <c r="D4" s="21"/>
      <c r="E4" s="21"/>
      <c r="F4" s="21"/>
      <c r="G4" s="21"/>
      <c r="H4" s="21"/>
      <c r="I4" s="21"/>
      <c r="J4" s="21"/>
    </row>
    <row r="5" spans="2:10" ht="20.100000000000001" customHeight="1" x14ac:dyDescent="0.4">
      <c r="B5" s="4"/>
      <c r="C5" s="4"/>
      <c r="D5" s="4"/>
      <c r="E5" s="4"/>
      <c r="F5" s="4"/>
      <c r="G5" s="4"/>
      <c r="H5" s="4"/>
      <c r="I5" s="4"/>
      <c r="J5" s="4"/>
    </row>
    <row r="6" spans="2:10" ht="20.100000000000001" customHeight="1" x14ac:dyDescent="0.4">
      <c r="B6" s="4"/>
      <c r="C6" s="4"/>
      <c r="D6" s="4"/>
      <c r="E6" s="4"/>
      <c r="F6" s="4"/>
      <c r="G6" s="4"/>
      <c r="H6" s="4"/>
      <c r="I6" s="4"/>
      <c r="J6" s="4"/>
    </row>
    <row r="7" spans="2:10" ht="20.100000000000001" customHeight="1" x14ac:dyDescent="0.4">
      <c r="B7" s="5"/>
      <c r="C7" s="5"/>
      <c r="D7" s="5"/>
      <c r="E7" s="6" t="s">
        <v>22</v>
      </c>
      <c r="F7" s="7">
        <v>1</v>
      </c>
      <c r="G7" s="5"/>
      <c r="H7" s="6" t="s">
        <v>24</v>
      </c>
      <c r="I7" s="8"/>
      <c r="J7" s="5"/>
    </row>
    <row r="8" spans="2:10" ht="20.100000000000001" customHeight="1" x14ac:dyDescent="0.4">
      <c r="B8" s="5"/>
      <c r="C8" s="5"/>
      <c r="D8" s="5"/>
      <c r="E8" s="5"/>
      <c r="F8" s="5"/>
      <c r="G8" s="5"/>
      <c r="H8" s="5"/>
      <c r="I8" s="5"/>
      <c r="J8" s="5"/>
    </row>
    <row r="9" spans="2:10" ht="20.100000000000001" customHeight="1" x14ac:dyDescent="0.4">
      <c r="B9" s="5"/>
      <c r="C9" s="5"/>
      <c r="D9" s="5"/>
      <c r="E9" s="6" t="s">
        <v>23</v>
      </c>
      <c r="F9" s="9"/>
      <c r="G9" s="5"/>
      <c r="H9" s="6" t="s">
        <v>25</v>
      </c>
      <c r="I9" s="8"/>
      <c r="J9" s="5"/>
    </row>
    <row r="10" spans="2:10" ht="20.100000000000001" customHeight="1" x14ac:dyDescent="0.4">
      <c r="B10" s="10"/>
      <c r="C10" s="5"/>
      <c r="D10" s="5"/>
      <c r="E10" s="5"/>
      <c r="F10" s="5"/>
      <c r="G10" s="5"/>
      <c r="H10" s="5"/>
      <c r="I10" s="5"/>
      <c r="J10" s="5"/>
    </row>
    <row r="11" spans="2:10" ht="20.100000000000001" customHeight="1" x14ac:dyDescent="0.4">
      <c r="B11" s="10"/>
      <c r="C11" s="5"/>
      <c r="D11" s="5"/>
      <c r="E11" s="5"/>
      <c r="F11" s="5"/>
      <c r="G11" s="5"/>
      <c r="H11" s="5"/>
      <c r="I11" s="5"/>
      <c r="J11" s="5"/>
    </row>
    <row r="12" spans="2:10" ht="20.100000000000001" customHeight="1" x14ac:dyDescent="0.4">
      <c r="B12" s="11" t="s">
        <v>4</v>
      </c>
      <c r="C12" s="11" t="s">
        <v>5</v>
      </c>
      <c r="D12" s="11" t="s">
        <v>6</v>
      </c>
      <c r="E12" s="11" t="s">
        <v>0</v>
      </c>
      <c r="F12" s="11" t="s">
        <v>7</v>
      </c>
      <c r="G12" s="11" t="s">
        <v>8</v>
      </c>
      <c r="H12" s="11" t="s">
        <v>1</v>
      </c>
      <c r="I12" s="11" t="s">
        <v>9</v>
      </c>
      <c r="J12" s="11" t="s">
        <v>2</v>
      </c>
    </row>
    <row r="13" spans="2:10" ht="20.100000000000001" customHeight="1" x14ac:dyDescent="0.4">
      <c r="B13" s="11">
        <f t="shared" ref="B13" si="0">ROW()-12</f>
        <v>1</v>
      </c>
      <c r="C13" s="11"/>
      <c r="D13" s="19"/>
      <c r="E13" s="11"/>
      <c r="F13" s="12"/>
      <c r="G13" s="13"/>
      <c r="H13" s="11"/>
      <c r="I13" s="14"/>
      <c r="J13" s="12"/>
    </row>
    <row r="14" spans="2:10" ht="20.100000000000001" customHeight="1" x14ac:dyDescent="0.4">
      <c r="B14" s="11" t="s">
        <v>16</v>
      </c>
      <c r="C14" s="11"/>
      <c r="D14" s="11"/>
      <c r="E14" s="11"/>
      <c r="F14" s="11"/>
      <c r="G14" s="13">
        <f>SUBTOTAL(109,T_Form8[مبلغ])</f>
        <v>0</v>
      </c>
      <c r="H14" s="11"/>
      <c r="I14" s="11"/>
      <c r="J14" s="11"/>
    </row>
    <row r="15" spans="2:10" ht="20.100000000000001" customHeight="1" x14ac:dyDescent="0.4">
      <c r="B15" s="25"/>
      <c r="C15" s="25"/>
      <c r="D15" s="25"/>
      <c r="E15" s="25"/>
      <c r="F15" s="25"/>
      <c r="G15" s="25"/>
      <c r="H15" s="25"/>
      <c r="I15" s="25"/>
      <c r="J15" s="25"/>
    </row>
    <row r="16" spans="2:10" ht="20.100000000000001" customHeight="1" x14ac:dyDescent="0.4">
      <c r="B16" s="25"/>
      <c r="C16" s="25"/>
      <c r="D16" s="25"/>
      <c r="E16" s="25"/>
      <c r="F16" s="25"/>
      <c r="G16" s="25"/>
      <c r="H16" s="25"/>
      <c r="I16" s="25"/>
      <c r="J16" s="25"/>
    </row>
    <row r="17" spans="2:10" ht="20.100000000000001" customHeight="1" x14ac:dyDescent="0.4">
      <c r="B17" s="25"/>
      <c r="C17" s="25"/>
      <c r="D17" s="25"/>
      <c r="E17" s="25"/>
      <c r="F17" s="25"/>
      <c r="G17" s="25"/>
      <c r="H17" s="25"/>
      <c r="I17" s="25"/>
      <c r="J17" s="25"/>
    </row>
    <row r="18" spans="2:10" ht="20.100000000000001" customHeight="1" x14ac:dyDescent="0.4">
      <c r="B18" s="22" t="s">
        <v>17</v>
      </c>
      <c r="C18" s="22"/>
      <c r="D18" s="22"/>
      <c r="E18" s="22"/>
      <c r="F18" s="22"/>
      <c r="G18" s="22"/>
      <c r="H18" s="22"/>
      <c r="I18" s="22"/>
      <c r="J18" s="22"/>
    </row>
    <row r="19" spans="2:10" ht="20.100000000000001" customHeight="1" x14ac:dyDescent="0.4">
      <c r="B19" s="22"/>
      <c r="C19" s="22"/>
      <c r="D19" s="22"/>
      <c r="E19" s="22"/>
      <c r="F19" s="22"/>
      <c r="G19" s="22"/>
      <c r="H19" s="22"/>
      <c r="I19" s="22"/>
      <c r="J19" s="22"/>
    </row>
    <row r="20" spans="2:10" ht="20.100000000000001" customHeight="1" x14ac:dyDescent="0.4">
      <c r="B20" s="22"/>
      <c r="C20" s="22"/>
      <c r="D20" s="22"/>
      <c r="E20" s="22"/>
      <c r="F20" s="22"/>
      <c r="G20" s="22"/>
      <c r="H20" s="22"/>
      <c r="I20" s="22"/>
      <c r="J20" s="22"/>
    </row>
    <row r="21" spans="2:10" ht="20.100000000000001" customHeight="1" x14ac:dyDescent="0.4">
      <c r="B21" s="1"/>
      <c r="C21" s="1"/>
      <c r="D21" s="1"/>
      <c r="E21" s="1"/>
      <c r="F21" s="1"/>
      <c r="G21" s="1"/>
      <c r="H21" s="1"/>
      <c r="I21" s="1"/>
      <c r="J21" s="1"/>
    </row>
    <row r="22" spans="2:10" ht="20.100000000000001" customHeight="1" x14ac:dyDescent="0.4">
      <c r="B22" s="1"/>
      <c r="C22" s="1"/>
      <c r="D22" s="1"/>
      <c r="E22" s="1"/>
      <c r="F22" s="1"/>
      <c r="G22" s="1"/>
      <c r="H22" s="1"/>
      <c r="I22" s="1"/>
      <c r="J22" s="1"/>
    </row>
    <row r="23" spans="2:10" ht="20.100000000000001" customHeight="1" x14ac:dyDescent="0.4">
      <c r="B23" s="2"/>
      <c r="C23" s="2"/>
      <c r="D23" s="2"/>
      <c r="E23" s="2"/>
      <c r="F23" s="2"/>
      <c r="G23" s="2"/>
      <c r="H23" s="2"/>
      <c r="I23" s="2"/>
      <c r="J23" s="2"/>
    </row>
    <row r="24" spans="2:10" ht="20.100000000000001" customHeight="1" x14ac:dyDescent="0.4">
      <c r="B24" s="2"/>
      <c r="C24" s="20" t="s">
        <v>20</v>
      </c>
      <c r="D24" s="23">
        <f>(SUM(T_Form8[مبلغ]) + P_Remaining) / P_Capacity</f>
        <v>0</v>
      </c>
      <c r="E24" s="23"/>
      <c r="F24" s="2"/>
      <c r="G24" s="2"/>
      <c r="H24" s="2"/>
      <c r="I24" s="2"/>
      <c r="J24" s="2"/>
    </row>
    <row r="25" spans="2:10" ht="20.100000000000001" customHeight="1" x14ac:dyDescent="0.4">
      <c r="B25" s="2"/>
      <c r="C25" s="20"/>
      <c r="D25" s="23"/>
      <c r="E25" s="23"/>
      <c r="F25" s="2"/>
      <c r="G25" s="2"/>
      <c r="H25" s="2"/>
      <c r="I25" s="2"/>
      <c r="J25" s="2"/>
    </row>
    <row r="26" spans="2:10" ht="20.100000000000001" customHeight="1" x14ac:dyDescent="0.4">
      <c r="B26" s="2"/>
      <c r="C26" s="2"/>
      <c r="D26" s="2"/>
      <c r="E26" s="2"/>
      <c r="F26" s="2"/>
      <c r="G26" s="2"/>
      <c r="H26" s="2"/>
      <c r="I26" s="2"/>
      <c r="J26" s="2"/>
    </row>
    <row r="27" spans="2:10" ht="20.100000000000001" customHeight="1" x14ac:dyDescent="0.4">
      <c r="B27" s="2"/>
      <c r="C27" s="2"/>
      <c r="D27" s="2"/>
      <c r="E27" s="2"/>
      <c r="F27" s="2"/>
      <c r="G27" s="2"/>
      <c r="H27" s="2"/>
      <c r="I27" s="2"/>
      <c r="J27" s="2"/>
    </row>
    <row r="28" spans="2:10" ht="20.100000000000001" customHeight="1" x14ac:dyDescent="0.4">
      <c r="B28" s="2"/>
      <c r="C28" s="2"/>
      <c r="D28" s="2"/>
      <c r="E28" s="2"/>
      <c r="F28" s="2"/>
      <c r="G28" s="2"/>
      <c r="H28" s="2"/>
      <c r="I28" s="2"/>
      <c r="J28" s="2"/>
    </row>
    <row r="29" spans="2:10" ht="20.100000000000001" customHeight="1" x14ac:dyDescent="0.4">
      <c r="B29" s="2"/>
      <c r="C29" s="20" t="s">
        <v>21</v>
      </c>
      <c r="D29" s="24">
        <f>T_Form8[[#Totals],[مبلغ]]</f>
        <v>0</v>
      </c>
      <c r="E29" s="24"/>
      <c r="F29" s="2"/>
      <c r="G29" s="2"/>
      <c r="H29" s="2"/>
      <c r="I29" s="2"/>
      <c r="J29" s="2"/>
    </row>
    <row r="30" spans="2:10" ht="20.100000000000001" customHeight="1" x14ac:dyDescent="0.4">
      <c r="B30" s="2"/>
      <c r="C30" s="20"/>
      <c r="D30" s="24"/>
      <c r="E30" s="24"/>
      <c r="F30" s="2"/>
      <c r="G30" s="2"/>
      <c r="H30" s="2"/>
      <c r="I30" s="2"/>
      <c r="J30" s="2"/>
    </row>
    <row r="31" spans="2:10" ht="20.100000000000001" customHeight="1" x14ac:dyDescent="0.4">
      <c r="B31" s="2"/>
      <c r="C31" s="2"/>
      <c r="D31" s="2"/>
      <c r="E31" s="2"/>
      <c r="F31" s="2"/>
      <c r="G31" s="2"/>
      <c r="H31" s="2"/>
      <c r="I31" s="2"/>
      <c r="J31" s="2"/>
    </row>
    <row r="32" spans="2:10" ht="20.100000000000001" customHeight="1" x14ac:dyDescent="0.4">
      <c r="B32" s="2"/>
      <c r="C32" s="2"/>
      <c r="D32" s="2"/>
      <c r="E32" s="2"/>
      <c r="F32" s="2"/>
      <c r="G32" s="2"/>
      <c r="H32" s="2"/>
      <c r="I32" s="2"/>
      <c r="J32" s="2"/>
    </row>
    <row r="33" spans="2:10" ht="20.100000000000001" customHeight="1" x14ac:dyDescent="0.4">
      <c r="B33" s="2"/>
      <c r="C33" s="2"/>
      <c r="D33" s="2"/>
      <c r="E33" s="2"/>
      <c r="F33" s="2"/>
      <c r="G33" s="2"/>
      <c r="H33" s="2"/>
      <c r="I33" s="2"/>
      <c r="J33" s="2"/>
    </row>
  </sheetData>
  <mergeCells count="7">
    <mergeCell ref="C29:C30"/>
    <mergeCell ref="D29:E30"/>
    <mergeCell ref="B2:J4"/>
    <mergeCell ref="B15:J17"/>
    <mergeCell ref="B18:J20"/>
    <mergeCell ref="C24:C25"/>
    <mergeCell ref="D24:E25"/>
  </mergeCells>
  <conditionalFormatting sqref="D24">
    <cfRule type="dataBar" priority="1">
      <dataBar>
        <cfvo type="num" val="0"/>
        <cfvo type="num" val="1"/>
        <color theme="6"/>
      </dataBar>
      <extLst>
        <ext xmlns:x14="http://schemas.microsoft.com/office/spreadsheetml/2009/9/main" uri="{B025F937-C7B1-47D3-B67F-A62EFF666E3E}">
          <x14:id>{DAAE4D70-93CF-4A17-A429-710BE97DF1FB}</x14:id>
        </ext>
      </extLst>
    </cfRule>
  </conditionalFormatting>
  <dataValidations count="3">
    <dataValidation type="list" showInputMessage="1" showErrorMessage="1" error="دارد یا ندارد را انتخاب کنید" sqref="C13" xr:uid="{AD86914E-D4EA-48AF-B885-38CD8278C5C0}">
      <formula1>"دارد, ندارد"</formula1>
    </dataValidation>
    <dataValidation type="list" allowBlank="1" showInputMessage="1" showErrorMessage="1" error="فقط از لیست کشویی می‌تونی انتخاب کنی" sqref="H13" xr:uid="{7FDBD41F-E70E-4C07-B862-065D0241B982}">
      <formula1>L_PayCenter</formula1>
    </dataValidation>
    <dataValidation type="list" allowBlank="1" showInputMessage="1" showErrorMessage="1" error="فقط از لیست کشویی می‌تونی انتخاب کنی" sqref="E13" xr:uid="{E942F192-DA5F-48FE-915B-6809A7E0E4EE}">
      <formula1>L_CostCenter</formula1>
    </dataValidation>
  </dataValidations>
  <printOptions horizontalCentered="1"/>
  <pageMargins left="0.55118110236220497" right="0.55118110236220497" top="0.27559055118110198" bottom="0.55118110236220497" header="0.27559055118110198" footer="0.27559055118110198"/>
  <pageSetup paperSize="9" scale="69" fitToHeight="0" orientation="landscape" r:id="rId1"/>
  <headerFooter>
    <oddFooter>&amp;CPage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AAE4D70-93CF-4A17-A429-710BE97DF1FB}">
            <x14:dataBar minLength="0" maxLength="100" border="1" gradient="0" direction="leftToRight">
              <x14:cfvo type="num">
                <xm:f>0</xm:f>
              </x14:cfvo>
              <x14:cfvo type="num">
                <xm:f>1</xm:f>
              </x14:cfvo>
              <x14:borderColor theme="0" tint="-0.249977111117893"/>
              <x14:negativeFillColor rgb="FFFF0000"/>
              <x14:axisColor rgb="FF000000"/>
            </x14:dataBar>
          </x14:cfRule>
          <xm:sqref>D24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خام</vt:lpstr>
      <vt:lpstr>Data</vt:lpstr>
      <vt:lpstr>1</vt:lpstr>
      <vt:lpstr>'1'!L_CostCenter</vt:lpstr>
      <vt:lpstr>L_CostCenter</vt:lpstr>
      <vt:lpstr>'1'!L_PayCenter</vt:lpstr>
      <vt:lpstr>L_PayCenter</vt:lpstr>
      <vt:lpstr>P_Capacity</vt:lpstr>
      <vt:lpstr>P_Name</vt:lpstr>
      <vt:lpstr>'1'!P_Number</vt:lpstr>
      <vt:lpstr>خام!P_Number</vt:lpstr>
      <vt:lpstr>'1'!P_Remaining</vt:lpstr>
      <vt:lpstr>خام!P_Remaining</vt:lpstr>
      <vt:lpstr>'1'!Print_Titles</vt:lpstr>
      <vt:lpstr>خام!Print_Titles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Aboutalebi</dc:creator>
  <cp:lastModifiedBy>Mohammad Aboutalebi</cp:lastModifiedBy>
  <cp:lastPrinted>2024-08-07T10:36:59Z</cp:lastPrinted>
  <dcterms:created xsi:type="dcterms:W3CDTF">2024-08-04T13:15:35Z</dcterms:created>
  <dcterms:modified xsi:type="dcterms:W3CDTF">2024-08-07T10:44:12Z</dcterms:modified>
</cp:coreProperties>
</file>